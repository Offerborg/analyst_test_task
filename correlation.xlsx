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ikedPC\Desktop\"/>
    </mc:Choice>
  </mc:AlternateContent>
  <xr:revisionPtr revIDLastSave="0" documentId="8_{807A925B-5AB8-4562-8D24-30228AC28BF1}" xr6:coauthVersionLast="47" xr6:coauthVersionMax="47" xr10:uidLastSave="{00000000-0000-0000-0000-000000000000}"/>
  <bookViews>
    <workbookView xWindow="0" yWindow="0" windowWidth="14400" windowHeight="15600" xr2:uid="{34EBB2FC-F342-465E-8C5C-0A9879F568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E27" i="1"/>
  <c r="D27" i="1"/>
  <c r="C27" i="1"/>
  <c r="E17" i="1"/>
  <c r="E18" i="1"/>
  <c r="E19" i="1"/>
  <c r="E20" i="1"/>
  <c r="E21" i="1"/>
  <c r="E22" i="1"/>
  <c r="E23" i="1"/>
  <c r="E24" i="1"/>
  <c r="E25" i="1"/>
  <c r="E16" i="1"/>
  <c r="D17" i="1"/>
  <c r="D18" i="1"/>
  <c r="D19" i="1"/>
  <c r="D20" i="1"/>
  <c r="D21" i="1"/>
  <c r="D22" i="1"/>
  <c r="D23" i="1"/>
  <c r="D24" i="1"/>
  <c r="D25" i="1"/>
  <c r="D16" i="1"/>
  <c r="C17" i="1"/>
  <c r="C18" i="1"/>
  <c r="C19" i="1"/>
  <c r="C20" i="1"/>
  <c r="C21" i="1"/>
  <c r="C22" i="1"/>
  <c r="C23" i="1"/>
  <c r="C24" i="1"/>
  <c r="C25" i="1"/>
  <c r="C16" i="1"/>
  <c r="B17" i="1"/>
  <c r="B18" i="1"/>
  <c r="B19" i="1"/>
  <c r="B20" i="1"/>
  <c r="B21" i="1"/>
  <c r="B22" i="1"/>
  <c r="B23" i="1"/>
  <c r="B24" i="1"/>
  <c r="B25" i="1"/>
  <c r="B16" i="1"/>
  <c r="A25" i="1"/>
  <c r="A17" i="1"/>
  <c r="A18" i="1"/>
  <c r="A19" i="1"/>
  <c r="A20" i="1"/>
  <c r="A21" i="1"/>
  <c r="A22" i="1"/>
  <c r="A23" i="1"/>
  <c r="A24" i="1"/>
  <c r="A16" i="1"/>
  <c r="A13" i="1"/>
  <c r="B13" i="1"/>
</calcChain>
</file>

<file path=xl/sharedStrings.xml><?xml version="1.0" encoding="utf-8"?>
<sst xmlns="http://schemas.openxmlformats.org/spreadsheetml/2006/main" count="11" uniqueCount="11">
  <si>
    <t>Кофе(X)</t>
  </si>
  <si>
    <t>Балл(Y)</t>
  </si>
  <si>
    <t>Считаем средние значения:</t>
  </si>
  <si>
    <t>Считаем отклонения:</t>
  </si>
  <si>
    <t>X - Xср</t>
  </si>
  <si>
    <t>Y-Yср</t>
  </si>
  <si>
    <t>(X-Xср)*(Y-Yср</t>
  </si>
  <si>
    <t>(X-Xср)²</t>
  </si>
  <si>
    <t>(Y-Yср)²</t>
  </si>
  <si>
    <t>Считаем суммы:</t>
  </si>
  <si>
    <t>Считаем корреляцию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</si>
</sst>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A07C-00FA-436F-947B-896752AD4518}">
  <dimension ref="A1:E29"/>
  <sheetViews>
    <sheetView tabSelected="1" workbookViewId="0">
      <selection activeCell="A29" sqref="A29"/>
    </sheetView>
  </sheetViews>
  <sheetFormatPr defaultRowHeight="15" x14ac:dyDescent="0.25"/>
  <cols>
    <col min="3" max="3" width="14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1</v>
      </c>
      <c r="B2">
        <v>85</v>
      </c>
    </row>
    <row r="3" spans="1:5" x14ac:dyDescent="0.25">
      <c r="A3">
        <v>1</v>
      </c>
      <c r="B3">
        <v>88</v>
      </c>
    </row>
    <row r="4" spans="1:5" x14ac:dyDescent="0.25">
      <c r="A4">
        <v>2</v>
      </c>
      <c r="B4">
        <v>79</v>
      </c>
    </row>
    <row r="5" spans="1:5" x14ac:dyDescent="0.25">
      <c r="A5">
        <v>2</v>
      </c>
      <c r="B5">
        <v>81</v>
      </c>
    </row>
    <row r="6" spans="1:5" x14ac:dyDescent="0.25">
      <c r="A6">
        <v>2</v>
      </c>
      <c r="B6">
        <v>84</v>
      </c>
    </row>
    <row r="7" spans="1:5" x14ac:dyDescent="0.25">
      <c r="A7">
        <v>2</v>
      </c>
      <c r="B7">
        <v>65</v>
      </c>
    </row>
    <row r="8" spans="1:5" x14ac:dyDescent="0.25">
      <c r="A8">
        <v>3</v>
      </c>
      <c r="B8">
        <v>67</v>
      </c>
    </row>
    <row r="9" spans="1:5" x14ac:dyDescent="0.25">
      <c r="A9">
        <v>3</v>
      </c>
      <c r="B9">
        <v>58</v>
      </c>
    </row>
    <row r="10" spans="1:5" x14ac:dyDescent="0.25">
      <c r="A10">
        <v>3</v>
      </c>
      <c r="B10">
        <v>76</v>
      </c>
    </row>
    <row r="11" spans="1:5" x14ac:dyDescent="0.25">
      <c r="A11">
        <v>4</v>
      </c>
      <c r="B11">
        <v>49</v>
      </c>
    </row>
    <row r="12" spans="1:5" x14ac:dyDescent="0.25">
      <c r="A12" t="s">
        <v>2</v>
      </c>
    </row>
    <row r="13" spans="1:5" x14ac:dyDescent="0.25">
      <c r="A13">
        <f>AVERAGE(A2:A11)</f>
        <v>2.2999999999999998</v>
      </c>
      <c r="B13">
        <f>AVERAGE(B2:B11)</f>
        <v>73.2</v>
      </c>
    </row>
    <row r="14" spans="1:5" x14ac:dyDescent="0.25">
      <c r="A14" t="s">
        <v>3</v>
      </c>
    </row>
    <row r="15" spans="1:5" x14ac:dyDescent="0.25">
      <c r="A15" t="s">
        <v>4</v>
      </c>
      <c r="B15" t="s">
        <v>5</v>
      </c>
      <c r="C15" t="s">
        <v>6</v>
      </c>
      <c r="D15" t="s">
        <v>7</v>
      </c>
      <c r="E15" t="s">
        <v>8</v>
      </c>
    </row>
    <row r="16" spans="1:5" x14ac:dyDescent="0.25">
      <c r="A16">
        <f>A2-$A$13</f>
        <v>-1.2999999999999998</v>
      </c>
      <c r="B16">
        <f>B2-$B$13</f>
        <v>11.799999999999997</v>
      </c>
      <c r="C16">
        <f>A16*B16</f>
        <v>-15.339999999999995</v>
      </c>
      <c r="D16">
        <f>A16*A16</f>
        <v>1.6899999999999995</v>
      </c>
      <c r="E16">
        <f>B16*B16</f>
        <v>139.23999999999992</v>
      </c>
    </row>
    <row r="17" spans="1:5" x14ac:dyDescent="0.25">
      <c r="A17">
        <f t="shared" ref="A17:B25" si="0">A3-$A$13</f>
        <v>-1.2999999999999998</v>
      </c>
      <c r="B17">
        <f t="shared" ref="B17:B25" si="1">B3-$B$13</f>
        <v>14.799999999999997</v>
      </c>
      <c r="C17">
        <f t="shared" ref="C17:C25" si="2">A17*B17</f>
        <v>-19.239999999999995</v>
      </c>
      <c r="D17">
        <f t="shared" ref="D17:D25" si="3">A17*A17</f>
        <v>1.6899999999999995</v>
      </c>
      <c r="E17">
        <f t="shared" ref="E17:E25" si="4">B17*B17</f>
        <v>219.03999999999991</v>
      </c>
    </row>
    <row r="18" spans="1:5" x14ac:dyDescent="0.25">
      <c r="A18">
        <f t="shared" si="0"/>
        <v>-0.29999999999999982</v>
      </c>
      <c r="B18">
        <f t="shared" si="1"/>
        <v>5.7999999999999972</v>
      </c>
      <c r="C18">
        <f t="shared" si="2"/>
        <v>-1.7399999999999982</v>
      </c>
      <c r="D18">
        <f t="shared" si="3"/>
        <v>8.99999999999999E-2</v>
      </c>
      <c r="E18">
        <f t="shared" si="4"/>
        <v>33.639999999999965</v>
      </c>
    </row>
    <row r="19" spans="1:5" x14ac:dyDescent="0.25">
      <c r="A19">
        <f t="shared" si="0"/>
        <v>-0.29999999999999982</v>
      </c>
      <c r="B19">
        <f t="shared" si="1"/>
        <v>7.7999999999999972</v>
      </c>
      <c r="C19">
        <f t="shared" si="2"/>
        <v>-2.3399999999999976</v>
      </c>
      <c r="D19">
        <f t="shared" si="3"/>
        <v>8.99999999999999E-2</v>
      </c>
      <c r="E19">
        <f t="shared" si="4"/>
        <v>60.839999999999954</v>
      </c>
    </row>
    <row r="20" spans="1:5" x14ac:dyDescent="0.25">
      <c r="A20">
        <f t="shared" si="0"/>
        <v>-0.29999999999999982</v>
      </c>
      <c r="B20">
        <f t="shared" si="1"/>
        <v>10.799999999999997</v>
      </c>
      <c r="C20">
        <f t="shared" si="2"/>
        <v>-3.2399999999999971</v>
      </c>
      <c r="D20">
        <f t="shared" si="3"/>
        <v>8.99999999999999E-2</v>
      </c>
      <c r="E20">
        <f t="shared" si="4"/>
        <v>116.63999999999994</v>
      </c>
    </row>
    <row r="21" spans="1:5" x14ac:dyDescent="0.25">
      <c r="A21">
        <f t="shared" si="0"/>
        <v>-0.29999999999999982</v>
      </c>
      <c r="B21">
        <f t="shared" si="1"/>
        <v>-8.2000000000000028</v>
      </c>
      <c r="C21">
        <f t="shared" si="2"/>
        <v>2.4599999999999995</v>
      </c>
      <c r="D21">
        <f t="shared" si="3"/>
        <v>8.99999999999999E-2</v>
      </c>
      <c r="E21">
        <f t="shared" si="4"/>
        <v>67.240000000000052</v>
      </c>
    </row>
    <row r="22" spans="1:5" x14ac:dyDescent="0.25">
      <c r="A22">
        <f t="shared" si="0"/>
        <v>0.70000000000000018</v>
      </c>
      <c r="B22">
        <f t="shared" si="1"/>
        <v>-6.2000000000000028</v>
      </c>
      <c r="C22">
        <f t="shared" si="2"/>
        <v>-4.3400000000000034</v>
      </c>
      <c r="D22">
        <f t="shared" si="3"/>
        <v>0.49000000000000027</v>
      </c>
      <c r="E22">
        <f t="shared" si="4"/>
        <v>38.440000000000033</v>
      </c>
    </row>
    <row r="23" spans="1:5" x14ac:dyDescent="0.25">
      <c r="A23">
        <f t="shared" si="0"/>
        <v>0.70000000000000018</v>
      </c>
      <c r="B23">
        <f t="shared" si="1"/>
        <v>-15.200000000000003</v>
      </c>
      <c r="C23">
        <f t="shared" si="2"/>
        <v>-10.640000000000004</v>
      </c>
      <c r="D23">
        <f t="shared" si="3"/>
        <v>0.49000000000000027</v>
      </c>
      <c r="E23">
        <f t="shared" si="4"/>
        <v>231.04000000000008</v>
      </c>
    </row>
    <row r="24" spans="1:5" x14ac:dyDescent="0.25">
      <c r="A24">
        <f t="shared" si="0"/>
        <v>0.70000000000000018</v>
      </c>
      <c r="B24">
        <f t="shared" si="1"/>
        <v>2.7999999999999972</v>
      </c>
      <c r="C24">
        <f t="shared" si="2"/>
        <v>1.9599999999999984</v>
      </c>
      <c r="D24">
        <f t="shared" si="3"/>
        <v>0.49000000000000027</v>
      </c>
      <c r="E24">
        <f t="shared" si="4"/>
        <v>7.8399999999999839</v>
      </c>
    </row>
    <row r="25" spans="1:5" x14ac:dyDescent="0.25">
      <c r="A25">
        <f t="shared" si="0"/>
        <v>1.7000000000000002</v>
      </c>
      <c r="B25">
        <f t="shared" si="1"/>
        <v>-24.200000000000003</v>
      </c>
      <c r="C25">
        <f t="shared" si="2"/>
        <v>-41.140000000000008</v>
      </c>
      <c r="D25">
        <f t="shared" si="3"/>
        <v>2.8900000000000006</v>
      </c>
      <c r="E25">
        <f t="shared" si="4"/>
        <v>585.6400000000001</v>
      </c>
    </row>
    <row r="26" spans="1:5" x14ac:dyDescent="0.25">
      <c r="A26" t="s">
        <v>9</v>
      </c>
    </row>
    <row r="27" spans="1:5" x14ac:dyDescent="0.25">
      <c r="C27">
        <f>SUM(C16:C25)</f>
        <v>-93.6</v>
      </c>
      <c r="D27">
        <f>SUM(D16:D25)</f>
        <v>8.1</v>
      </c>
      <c r="E27">
        <f>SUM(E16:E25)</f>
        <v>1499.6</v>
      </c>
    </row>
    <row r="28" spans="1:5" x14ac:dyDescent="0.25">
      <c r="A28" t="s">
        <v>10</v>
      </c>
    </row>
    <row r="29" spans="1:5" x14ac:dyDescent="0.25">
      <c r="A29">
        <f>C27/SQRT(D27*E27)</f>
        <v>-0.84926968767326216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Авдеенко</dc:creator>
  <cp:lastModifiedBy>илья Авдеенко</cp:lastModifiedBy>
  <dcterms:created xsi:type="dcterms:W3CDTF">2026-03-11T15:22:48Z</dcterms:created>
  <dcterms:modified xsi:type="dcterms:W3CDTF">2026-03-11T15:31:51Z</dcterms:modified>
</cp:coreProperties>
</file>